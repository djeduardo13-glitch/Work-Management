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 codeName="{82680DD9-3F13-7979-5B5F-3D2375947C00}"/>
  <workbookPr codeName="Questa_cartella_di_lavoro"/>
  <bookViews>
    <workbookView xWindow="-108" yWindow="-108" windowWidth="23256" windowHeight="12456" xr2:uid="{00000000-000D-0000-FFFF-FFFF00000000}"/>
  </bookViews>
  <sheets>
    <sheet name="Nota spese" sheetId="1" r:id="rId1"/>
  </sheets>
  <definedNames>
    <definedName name="DataFine">'Nota spese'!$G$10</definedName>
    <definedName name="DataInizio">'Nota spese'!$D$10</definedName>
    <definedName name="TariffaChilometraggio">'Nota spese'!$K$6</definedName>
    <definedName name="_xlnm.Print_Titles" localSheetId="0">'Nota spese'!$14:$14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<sst xmlns="http://schemas.openxmlformats.org/spreadsheetml/2006/main" count="45" uniqueCount="45">
  <si>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Nota spese</t>
  </si>
  <si>
    <t xml:space="preserve">Stem Srl Unipersonale</t>
  </si>
  <si>
    <t xml:space="preserve">Strada Ghiaie 12/D, 43013 Medesano PR</t>
  </si>
  <si>
    <t xml:space="preserve">TOTALE NOTA SPESE</t>
  </si>
  <si>
    <t xml:space="preserve">Nome:</t>
  </si>
  <si>
    <t xml:space="preserve">Scopo:</t>
  </si>
  <si>
    <t xml:space="preserve">Auto personale:</t>
  </si>
  <si>
    <t xml:space="preserve">Taxi / Noleggio auto / Carb. / Pedaggi/ Parch.</t>
  </si>
  <si>
    <t xml:space="preserve">Chilometraggio</t>
  </si>
  <si>
    <t xml:space="preserve">Reparto:</t>
  </si>
  <si>
    <t xml:space="preserve">Tariffa chilometraggio:</t>
  </si>
  <si>
    <t xml:space="preserve">Posizione:</t>
  </si>
  <si>
    <t xml:space="preserve">Auto aziendale:</t>
  </si>
  <si>
    <t xml:space="preserve">VOLO / TRENO</t>
  </si>
  <si>
    <t xml:space="preserve">HOTEL</t>
  </si>
  <si>
    <t xml:space="preserve">Stato</t>
  </si>
  <si>
    <t xml:space="preserve">Km iniziali</t>
  </si>
  <si>
    <t xml:space="preserve">Viaggiato con: </t>
  </si>
  <si>
    <t xml:space="preserve">Città</t>
  </si>
  <si>
    <t xml:space="preserve">Km finali</t>
  </si>
  <si>
    <t xml:space="preserve">PASTI</t>
  </si>
  <si>
    <t xml:space="preserve">Altro</t>
  </si>
  <si>
    <t xml:space="preserve">Data inizio:</t>
  </si>
  <si>
    <t xml:space="preserve">Data fine:</t>
  </si>
  <si>
    <t xml:space="preserve">Carburante auto az.</t>
  </si>
  <si>
    <t xml:space="preserve">Scontrini contante</t>
  </si>
  <si>
    <t xml:space="preserve">Scontr. c/c aziendale</t>
  </si>
  <si>
    <t xml:space="preserve">Fatture c/c aziendale</t>
  </si>
  <si>
    <t xml:space="preserve">Data</t>
  </si>
  <si>
    <t xml:space="preserve">Descrizione</t>
  </si>
  <si>
    <t xml:space="preserve">.</t>
  </si>
  <si>
    <t xml:space="preserve">Dettagli</t>
  </si>
  <si>
    <t xml:space="preserve">..</t>
  </si>
  <si>
    <t xml:space="preserve">…</t>
  </si>
  <si>
    <t xml:space="preserve">Tipo doc.</t>
  </si>
  <si>
    <t xml:space="preserve">Valuta</t>
  </si>
  <si>
    <t xml:space="preserve">Importo</t>
  </si>
  <si>
    <t xml:space="preserve">Cambio</t>
  </si>
  <si>
    <t xml:space="preserve">€ Contanti o c/c pers.</t>
  </si>
  <si>
    <t xml:space="preserve">€ c/c aziendale</t>
  </si>
  <si>
    <t xml:space="preserve">Cassa €</t>
  </si>
  <si>
    <t xml:space="preserve">€ già pagato</t>
  </si>
  <si>
    <t xml:space="preserve">Totale</t>
  </si>
  <si>
    <t xml:space="preserve"> </t>
  </si>
  <si>
    <t xml:space="preserve">Totali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</si>
</sst>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#,##0.00\ &quot;€&quot;;[Red]\-#,##0.00\ &quot;€&quot;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&quot;/day&quot;"/>
    <numFmt numFmtId="167" formatCode="&quot;$&quot;#,##0.00"/>
    <numFmt numFmtId="168" formatCode="&quot;€&quot;\ #,##0.00&quot;/km&quot;"/>
    <numFmt numFmtId="169" formatCode="&quot;€&quot;\ #,##0.00&quot;/giorno&quot;"/>
    <numFmt numFmtId="170" formatCode="&quot;€&quot;\ #,##0.00"/>
    <numFmt numFmtId="171" formatCode="#,##0.0_)&quot;km&quot;;\(#,##0.0\)&quot;km&quot;"/>
    <numFmt numFmtId="172" formatCode="0.0000"/>
  </numFmts>
  <fonts count="27" x14ac:knownFonts="1">
    <font>
      <sz val="10"/>
      <color theme="1"/>
      <name val="Segoe UI"/>
      <family val="2"/>
      <scheme val="minor"/>
    </font>
    <font>
      <sz val="10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sz val="10"/>
      <color theme="4"/>
      <name val="Segoe UI"/>
      <family val="2"/>
      <scheme val="minor"/>
    </font>
    <font>
      <u/>
      <sz val="10"/>
      <color theme="4"/>
      <name val="Segoe UI"/>
      <family val="2"/>
      <scheme val="minor"/>
    </font>
    <font>
      <sz val="11"/>
      <color theme="3"/>
      <name val="Segoe UI"/>
      <family val="2"/>
      <scheme val="major"/>
    </font>
    <font>
      <b/>
      <sz val="26"/>
      <color theme="0"/>
      <name val="Segoe UI"/>
      <family val="2"/>
      <scheme val="major"/>
    </font>
    <font>
      <b/>
      <sz val="12"/>
      <color theme="0"/>
      <name val="Segoe UI"/>
      <family val="2"/>
      <scheme val="major"/>
    </font>
    <font>
      <b/>
      <sz val="12"/>
      <color theme="0"/>
      <name val="Segoe UI"/>
      <family val="1"/>
      <scheme val="major"/>
    </font>
    <font>
      <b/>
      <sz val="10"/>
      <color theme="0"/>
      <name val="Segoe UI"/>
      <family val="2"/>
      <scheme val="minor"/>
    </font>
    <font>
      <b/>
      <sz val="14"/>
      <color theme="0"/>
      <name val="Segoe UI"/>
      <family val="2"/>
      <scheme val="major"/>
    </font>
    <font>
      <sz val="10"/>
      <color theme="0"/>
      <name val="Segoe UI"/>
      <family val="2"/>
      <scheme val="minor"/>
    </font>
    <font>
      <b/>
      <sz val="9"/>
      <color theme="0"/>
      <name val="Segoe UI"/>
      <family val="2"/>
      <scheme val="minor"/>
    </font>
    <font>
      <b/>
      <sz val="8"/>
      <color theme="0"/>
      <name val="Segoe UI"/>
      <family val="2"/>
      <scheme val="minor"/>
    </font>
    <font>
      <sz val="9"/>
      <color theme="0"/>
      <name val="Segoe UI"/>
      <family val="2"/>
      <scheme val="minor"/>
    </font>
    <font>
      <sz val="9"/>
      <color theme="1"/>
      <name val="Segoe UI"/>
      <family val="2"/>
      <scheme val="minor"/>
    </font>
    <font>
      <sz val="11"/>
      <color theme="0"/>
      <name val="Segoe UI"/>
      <family val="2"/>
      <scheme val="major"/>
    </font>
    <font>
      <sz val="10"/>
      <color theme="1"/>
      <name val="Segoe UI"/>
      <family val="2"/>
      <scheme val="major"/>
    </font>
    <font>
      <sz val="10"/>
      <name val="Segoe UI"/>
      <family val="2"/>
      <scheme val="minor"/>
    </font>
    <font>
      <b/>
      <sz val="10"/>
      <color theme="1"/>
      <name val="Segoe UI"/>
      <family val="2"/>
      <scheme val="minor"/>
    </font>
    <font>
      <b/>
      <sz val="16"/>
      <color theme="0"/>
      <name val="Segoe UI"/>
      <family val="2"/>
      <scheme val="minor"/>
    </font>
    <font>
      <b/>
      <sz val="13"/>
      <color theme="0"/>
      <name val="Segoe UI"/>
      <family val="2"/>
      <scheme val="major"/>
    </font>
    <font>
      <b/>
      <sz val="28"/>
      <color theme="0"/>
      <name val="Segoe UI"/>
      <family val="2"/>
      <scheme val="major"/>
    </font>
    <font>
      <b/>
      <sz val="10"/>
      <color rgb="FF004584"/>
      <name val="Poppins"/>
    </font>
    <font>
      <sz val="10"/>
      <name val="Segoe UI"/>
      <scheme val="minor"/>
    </font>
    <font>
      <sz val="10"/>
      <color theme="1"/>
      <name val="Segoe U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theme="4" tint="0.79998168889431442"/>
      </bottom>
      <diagonal/>
    </border>
    <border>
      <left/>
      <right/>
      <top style="medium">
        <color theme="4" tint="0.79998168889431442"/>
      </top>
      <bottom/>
      <diagonal/>
    </border>
    <border>
      <left style="medium">
        <color theme="4" tint="0.79995117038483843"/>
      </left>
      <right/>
      <top style="medium">
        <color theme="4" tint="0.79998168889431442"/>
      </top>
      <bottom/>
      <diagonal/>
    </border>
    <border>
      <left/>
      <right style="medium">
        <color theme="4" tint="0.79995117038483843"/>
      </right>
      <top/>
      <bottom style="hair">
        <color theme="4" tint="0.79992065187536243"/>
      </bottom>
      <diagonal/>
    </border>
    <border>
      <left style="medium">
        <color theme="4" tint="0.79995117038483843"/>
      </left>
      <right/>
      <top/>
      <bottom/>
      <diagonal/>
    </border>
    <border>
      <left/>
      <right style="medium">
        <color theme="4" tint="0.79995117038483843"/>
      </right>
      <top style="hair">
        <color theme="4" tint="0.79992065187536243"/>
      </top>
      <bottom style="hair">
        <color theme="4" tint="0.79992065187536243"/>
      </bottom>
      <diagonal/>
    </border>
    <border>
      <left/>
      <right/>
      <top/>
      <bottom style="hair">
        <color theme="4" tint="0.79998168889431442"/>
      </bottom>
      <diagonal/>
    </border>
    <border>
      <left/>
      <right/>
      <top style="hair">
        <color theme="4" tint="0.79998168889431442"/>
      </top>
      <bottom style="hair">
        <color theme="4" tint="0.79995117038483843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/>
      <diagonal/>
    </border>
    <border>
      <left style="medium">
        <color theme="4" tint="0.39994506668294322"/>
      </left>
      <right/>
      <top style="medium">
        <color theme="4" tint="0.39994506668294322"/>
      </top>
      <bottom/>
      <diagonal/>
    </border>
    <border>
      <left/>
      <right style="medium">
        <color theme="4" tint="0.39991454817346722"/>
      </right>
      <top style="medium">
        <color theme="4" tint="0.39988402966399123"/>
      </top>
      <bottom/>
      <diagonal/>
    </border>
    <border>
      <left/>
      <right/>
      <top style="medium">
        <color theme="4" tint="0.39988402966399123"/>
      </top>
      <bottom/>
      <diagonal/>
    </border>
    <border>
      <left/>
      <right/>
      <top style="medium">
        <color theme="4" tint="0.39991454817346722"/>
      </top>
      <bottom/>
      <diagonal/>
    </border>
    <border>
      <left/>
      <right/>
      <top style="medium">
        <color theme="4" tint="0.39994506668294322"/>
      </top>
      <bottom/>
      <diagonal/>
    </border>
    <border>
      <left style="medium">
        <color theme="4" tint="0.39985351115451523"/>
      </left>
      <right style="medium">
        <color theme="4" tint="0.39994506668294322"/>
      </right>
      <top style="medium">
        <color theme="4" tint="0.39988402966399123"/>
      </top>
      <bottom/>
      <diagonal/>
    </border>
    <border>
      <left style="hair">
        <color theme="4" tint="0.39985351115451523"/>
      </left>
      <right style="hair">
        <color theme="4" tint="0.39985351115451523"/>
      </right>
      <top style="medium">
        <color theme="4" tint="0.39985351115451523"/>
      </top>
      <bottom/>
      <diagonal/>
    </border>
    <border>
      <left style="hair">
        <color theme="4" tint="0.39982299264503923"/>
      </left>
      <right style="medium">
        <color theme="4" tint="0.39982299264503923"/>
      </right>
      <top style="medium">
        <color theme="4" tint="0.39982299264503923"/>
      </top>
      <bottom/>
      <diagonal/>
    </border>
    <border>
      <left style="medium">
        <color theme="4" tint="0.39982299264503923"/>
      </left>
      <right/>
      <top style="medium">
        <color theme="4" tint="0.39979247413556324"/>
      </top>
      <bottom/>
      <diagonal/>
    </border>
    <border>
      <left/>
      <right style="medium">
        <color theme="4" tint="0.39979247413556324"/>
      </right>
      <top style="medium">
        <color theme="4" tint="0.39979247413556324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/>
      <bottom/>
      <diagonal/>
    </border>
    <border>
      <left/>
      <right style="medium">
        <color theme="4" tint="0.39994506668294322"/>
      </right>
      <top/>
      <bottom/>
      <diagonal/>
    </border>
    <border>
      <left style="hair">
        <color theme="4" tint="0.39985351115451523"/>
      </left>
      <right style="hair">
        <color theme="4" tint="0.39985351115451523"/>
      </right>
      <top/>
      <bottom/>
      <diagonal/>
    </border>
    <border>
      <left style="hair">
        <color theme="4" tint="0.39982299264503923"/>
      </left>
      <right style="medium">
        <color theme="4" tint="0.39982299264503923"/>
      </right>
      <top/>
      <bottom/>
      <diagonal/>
    </border>
    <border>
      <left/>
      <right style="medium">
        <color theme="4" tint="0.39979247413556324"/>
      </right>
      <top/>
      <bottom/>
      <diagonal/>
    </border>
    <border>
      <left style="medium">
        <color theme="4" tint="0.39994506668294322"/>
      </left>
      <right/>
      <top/>
      <bottom/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medium">
        <color theme="4" tint="0.39982299264503923"/>
      </left>
      <right/>
      <top/>
      <bottom/>
      <diagonal/>
    </border>
    <border>
      <left/>
      <right/>
      <top style="hair">
        <color theme="4" tint="0.79998168889431442"/>
      </top>
      <bottom style="hair">
        <color theme="4" tint="0.79998168889431442"/>
      </bottom>
      <diagonal/>
    </border>
    <border>
      <left style="medium">
        <color theme="4" tint="0.39985351115451523"/>
      </left>
      <right style="medium">
        <color theme="4" tint="0.39994506668294322"/>
      </right>
      <top/>
      <bottom/>
      <diagonal/>
    </border>
    <border>
      <left style="medium">
        <color theme="4" tint="0.39994506668294322"/>
      </left>
      <right style="mediumDashDotDot">
        <color theme="4" tint="0.39991454817346722"/>
      </right>
      <top style="medium">
        <color theme="4" tint="0.39991454817346722"/>
      </top>
      <bottom/>
      <diagonal/>
    </border>
    <border>
      <left style="mediumDashDotDot">
        <color theme="4" tint="0.39991454817346722"/>
      </left>
      <right style="mediumDashDotDot">
        <color theme="4" tint="0.39991454817346722"/>
      </right>
      <top style="medium">
        <color theme="4" tint="0.39991454817346722"/>
      </top>
      <bottom/>
      <diagonal/>
    </border>
    <border>
      <left style="mediumDashDotDot">
        <color theme="4" tint="0.39991454817346722"/>
      </left>
      <right style="medium">
        <color theme="4" tint="0.39988402966399123"/>
      </right>
      <top style="medium">
        <color theme="4" tint="0.39991454817346722"/>
      </top>
      <bottom/>
      <diagonal/>
    </border>
    <border>
      <left style="medium">
        <color theme="4" tint="0.39994506668294322"/>
      </left>
      <right style="mediumDashDotDot">
        <color theme="4" tint="0.39991454817346722"/>
      </right>
      <top/>
      <bottom/>
      <diagonal/>
    </border>
    <border>
      <left style="mediumDashDotDot">
        <color theme="4" tint="0.39991454817346722"/>
      </left>
      <right style="mediumDashDotDot">
        <color theme="4" tint="0.39991454817346722"/>
      </right>
      <top/>
      <bottom/>
      <diagonal/>
    </border>
    <border>
      <left style="mediumDashDotDot">
        <color theme="4" tint="0.39991454817346722"/>
      </left>
      <right style="medium">
        <color theme="4" tint="0.39988402966399123"/>
      </right>
      <top/>
      <bottom/>
      <diagonal/>
    </border>
    <border>
      <left/>
      <right style="medium">
        <color theme="4" tint="0.79995117038483843"/>
      </right>
      <top/>
      <bottom/>
      <diagonal/>
    </border>
    <border>
      <left/>
      <right/>
      <top style="hair">
        <color theme="4" tint="0.79995117038483843"/>
      </top>
      <bottom/>
      <diagonal/>
    </border>
    <border>
      <left style="medium">
        <color theme="4" tint="0.39988402966399123"/>
      </left>
      <right style="medium">
        <color theme="4" tint="0.39985351115451523"/>
      </right>
      <top style="medium">
        <color theme="4" tint="0.39985351115451523"/>
      </top>
      <bottom/>
      <diagonal/>
    </border>
    <border>
      <left/>
      <right style="hair">
        <color theme="4" tint="0.39985351115451523"/>
      </right>
      <top style="medium">
        <color theme="4" tint="0.39985351115451523"/>
      </top>
      <bottom/>
      <diagonal/>
    </border>
    <border>
      <left/>
      <right style="hair">
        <color theme="4" tint="0.39985351115451523"/>
      </right>
      <top/>
      <bottom/>
      <diagonal/>
    </border>
    <border>
      <left style="medium">
        <color theme="4" tint="0.39988402966399123"/>
      </left>
      <right style="medium">
        <color theme="4" tint="0.39985351115451523"/>
      </right>
      <top/>
      <bottom/>
      <diagonal/>
    </border>
    <border>
      <left/>
      <right/>
      <top/>
      <bottom style="thin">
        <color theme="0"/>
      </bottom>
      <diagonal/>
    </border>
  </borders>
  <cellStyleXfs count="11">
    <xf numFmtId="0" fontId="0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165" fontId="2" fillId="0" borderId="0" applyFont="0" applyFill="0" applyBorder="0" applyAlignment="0" applyProtection="0"/>
    <xf numFmtId="167" fontId="6" fillId="0" borderId="0" applyAlignment="0">
      <alignment horizontal="right" vertical="center"/>
    </xf>
    <xf numFmtId="0" fontId="7" fillId="2" borderId="0" applyNumberFormat="0" applyBorder="0" applyAlignment="0" applyProtection="0"/>
    <xf numFmtId="0" fontId="8" fillId="2" borderId="0" applyNumberFormat="0" applyBorder="0" applyProtection="0">
      <alignment vertical="center"/>
    </xf>
    <xf numFmtId="0" fontId="9" fillId="2" borderId="0" applyNumberFormat="0" applyBorder="0" applyProtection="0">
      <alignment horizontal="left"/>
    </xf>
    <xf numFmtId="0" fontId="10" fillId="2" borderId="0" applyNumberFormat="0" applyBorder="0" applyAlignment="0" applyProtection="0"/>
    <xf numFmtId="167" fontId="11" fillId="0" borderId="0" applyFill="0" applyBorder="0" applyProtection="0">
      <alignment vertical="center"/>
    </xf>
    <xf numFmtId="164" fontId="2" fillId="0" borderId="0" applyFont="0" applyFill="0" applyBorder="0" applyAlignment="0" applyProtection="0"/>
  </cellStyleXfs>
  <cellXfs count="145">
    <xf numFmtId="0" fontId="0" fillId="0" borderId="0" xfId="0">
      <alignment vertical="center"/>
    </xf>
    <xf numFmtId="0" fontId="8" fillId="3" borderId="0" xfId="6" applyFill="1" applyBorder="1" applyAlignment="1" applyProtection="1">
      <alignment horizontal="left" indent="7"/>
      <protection locked="0"/>
    </xf>
    <xf numFmtId="0" fontId="0" fillId="3" borderId="0" xfId="0" applyFill="1" applyProtection="1">
      <alignment vertical="center"/>
      <protection locked="0"/>
    </xf>
    <xf numFmtId="0" fontId="12" fillId="3" borderId="0" xfId="0" applyFont="1" applyFill="1" applyProtection="1">
      <alignment vertical="center"/>
      <protection locked="0"/>
    </xf>
    <xf numFmtId="0" fontId="13" fillId="3" borderId="0" xfId="0" applyFon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8" fillId="3" borderId="0" xfId="6" applyFill="1" applyBorder="1" applyAlignment="1" applyProtection="1">
      <alignment horizontal="left" vertical="top" indent="7"/>
      <protection locked="0"/>
    </xf>
    <xf numFmtId="0" fontId="13" fillId="3" borderId="0" xfId="0" applyFont="1" applyFill="1" applyAlignment="1" applyProtection="1">
      <alignment horizontal="right" vertical="center" indent="1"/>
      <protection locked="0"/>
    </xf>
    <xf numFmtId="0" fontId="0" fillId="3" borderId="1" xfId="0" applyFill="1" applyBorder="1" applyProtection="1">
      <alignment vertical="center"/>
      <protection locked="0"/>
    </xf>
    <xf numFmtId="0" fontId="12" fillId="3" borderId="1" xfId="0" applyFont="1" applyFill="1" applyBorder="1" applyProtection="1">
      <alignment vertical="center"/>
      <protection locked="0"/>
    </xf>
    <xf numFmtId="0" fontId="3" fillId="3" borderId="0" xfId="0" applyFont="1" applyFill="1" applyProtection="1">
      <alignment vertical="center"/>
      <protection locked="0"/>
    </xf>
    <xf numFmtId="0" fontId="0" fillId="3" borderId="2" xfId="0" applyFill="1" applyBorder="1" applyProtection="1">
      <alignment vertical="center"/>
      <protection locked="0"/>
    </xf>
    <xf numFmtId="0" fontId="12" fillId="3" borderId="2" xfId="0" applyFont="1" applyFill="1" applyBorder="1" applyProtection="1">
      <alignment vertical="center"/>
      <protection locked="0"/>
    </xf>
    <xf numFmtId="0" fontId="12" fillId="3" borderId="3" xfId="0" applyFont="1" applyFill="1" applyBorder="1" applyProtection="1">
      <alignment vertical="center"/>
      <protection locked="0"/>
    </xf>
    <xf numFmtId="0" fontId="12" fillId="3" borderId="0" xfId="8" applyFont="1" applyFill="1" applyBorder="1" applyAlignment="1" applyProtection="1">
      <alignment horizontal="left" vertical="center" indent="2"/>
      <protection locked="0"/>
    </xf>
    <xf numFmtId="0" fontId="10" fillId="3" borderId="4" xfId="8" applyFill="1" applyBorder="1" applyAlignment="1" applyProtection="1">
      <alignment horizontal="left" vertical="center" indent="1"/>
      <protection locked="0"/>
    </xf>
    <xf numFmtId="0" fontId="12" fillId="3" borderId="5" xfId="8" applyFont="1" applyFill="1" applyBorder="1" applyAlignment="1" applyProtection="1">
      <alignment vertical="center"/>
      <protection locked="0"/>
    </xf>
    <xf numFmtId="0" fontId="10" fillId="3" borderId="0" xfId="8" applyNumberFormat="1" applyFill="1" applyAlignment="1" applyProtection="1">
      <alignment horizontal="center" vertical="center"/>
      <protection locked="0"/>
    </xf>
    <xf numFmtId="0" fontId="12" fillId="3" borderId="0" xfId="8" applyFont="1" applyFill="1" applyBorder="1" applyAlignment="1" applyProtection="1">
      <alignment horizontal="left" vertical="center" indent="1"/>
      <protection locked="0"/>
    </xf>
    <xf numFmtId="0" fontId="14" fillId="3" borderId="0" xfId="0" applyFont="1" applyFill="1" applyAlignment="1" applyProtection="1">
      <alignment vertical="center" wrapText="1"/>
      <protection locked="0"/>
    </xf>
    <xf numFmtId="0" fontId="12" fillId="3" borderId="6" xfId="8" applyFont="1" applyFill="1" applyBorder="1" applyAlignment="1" applyProtection="1">
      <alignment horizontal="left" vertical="center" indent="1"/>
      <protection locked="0"/>
    </xf>
    <xf numFmtId="0" fontId="12" fillId="3" borderId="0" xfId="8" applyNumberFormat="1" applyFont="1" applyFill="1" applyAlignment="1" applyProtection="1">
      <alignment horizontal="center" vertical="center"/>
      <protection locked="0"/>
    </xf>
    <xf numFmtId="14" fontId="12" fillId="3" borderId="0" xfId="8" applyNumberFormat="1" applyFont="1" applyFill="1" applyAlignment="1" applyProtection="1">
      <alignment vertical="center"/>
      <protection locked="0"/>
    </xf>
    <xf numFmtId="0" fontId="14" fillId="3" borderId="0" xfId="0" applyFont="1" applyFill="1" applyAlignment="1" applyProtection="1">
      <alignment horizontal="left" vertical="center" wrapText="1"/>
      <protection locked="0"/>
    </xf>
    <xf numFmtId="166" fontId="10" fillId="3" borderId="0" xfId="8" applyNumberFormat="1" applyFill="1" applyBorder="1" applyAlignment="1" applyProtection="1">
      <alignment horizontal="left" vertical="center" indent="1"/>
      <protection locked="0"/>
    </xf>
    <xf numFmtId="0" fontId="12" fillId="3" borderId="0" xfId="8" applyNumberFormat="1" applyFont="1" applyFill="1" applyAlignment="1" applyProtection="1">
      <alignment horizontal="left" vertical="center"/>
      <protection locked="0"/>
    </xf>
    <xf numFmtId="0" fontId="12" fillId="3" borderId="0" xfId="8" applyNumberFormat="1" applyFont="1" applyFill="1" applyBorder="1" applyAlignment="1" applyProtection="1">
      <alignment horizontal="left" vertical="center"/>
      <protection locked="0"/>
    </xf>
    <xf numFmtId="0" fontId="12" fillId="3" borderId="0" xfId="8" applyFont="1" applyFill="1" applyBorder="1" applyAlignment="1" applyProtection="1">
      <alignment vertical="center"/>
      <protection locked="0"/>
    </xf>
    <xf numFmtId="169" fontId="12" fillId="3" borderId="0" xfId="8" applyNumberFormat="1" applyFont="1" applyFill="1" applyBorder="1" applyAlignment="1" applyProtection="1">
      <alignment horizontal="left" vertical="center" indent="1"/>
      <protection locked="0"/>
    </xf>
    <xf numFmtId="168" fontId="12" fillId="3" borderId="0" xfId="8" applyNumberFormat="1" applyFont="1" applyFill="1" applyBorder="1" applyAlignment="1" applyProtection="1">
      <alignment horizontal="center" vertical="center"/>
      <protection locked="0"/>
    </xf>
    <xf numFmtId="0" fontId="15" fillId="3" borderId="0" xfId="0" applyFont="1" applyFill="1" applyProtection="1">
      <alignment vertical="center"/>
      <protection locked="0"/>
    </xf>
    <xf numFmtId="0" fontId="15" fillId="3" borderId="5" xfId="0" applyFont="1" applyFill="1" applyBorder="1" applyProtection="1">
      <alignment vertical="center"/>
      <protection locked="0"/>
    </xf>
    <xf numFmtId="0" fontId="15" fillId="3" borderId="0" xfId="0" applyFont="1" applyFill="1" applyAlignment="1" applyProtection="1">
      <alignment vertical="top"/>
      <protection locked="0"/>
    </xf>
    <xf numFmtId="0" fontId="16" fillId="3" borderId="0" xfId="0" applyFont="1" applyFill="1" applyProtection="1">
      <alignment vertical="center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167" fontId="17" fillId="0" borderId="14" xfId="0" applyNumberFormat="1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167" fontId="6" fillId="0" borderId="17" xfId="0" applyNumberFormat="1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14" fontId="19" fillId="0" borderId="20" xfId="0" applyNumberFormat="1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left" vertical="center"/>
      <protection locked="0"/>
    </xf>
    <xf numFmtId="4" fontId="1" fillId="0" borderId="23" xfId="3" applyNumberFormat="1" applyFont="1" applyFill="1" applyBorder="1" applyAlignment="1" applyProtection="1">
      <alignment horizontal="right" vertical="center"/>
      <protection locked="0"/>
    </xf>
    <xf numFmtId="0" fontId="0" fillId="0" borderId="24" xfId="0" applyBorder="1" applyProtection="1">
      <alignment vertical="center"/>
      <protection locked="0"/>
    </xf>
    <xf numFmtId="170" fontId="1" fillId="0" borderId="25" xfId="10" applyNumberFormat="1" applyFont="1" applyFill="1" applyBorder="1" applyAlignment="1" applyProtection="1">
      <alignment vertical="center"/>
      <protection locked="0"/>
    </xf>
    <xf numFmtId="170" fontId="1" fillId="0" borderId="0" xfId="10" applyNumberFormat="1" applyFont="1" applyFill="1" applyBorder="1" applyAlignment="1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67" fontId="0" fillId="0" borderId="0" xfId="0" applyNumberFormat="1" applyProtection="1">
      <alignment vertical="center"/>
      <protection locked="0"/>
    </xf>
    <xf numFmtId="170" fontId="21" fillId="4" borderId="0" xfId="0" applyNumberFormat="1" applyFont="1" applyFill="1" applyAlignment="1">
      <alignment horizontal="center" vertical="center"/>
    </xf>
    <xf numFmtId="170" fontId="22" fillId="6" borderId="26" xfId="9" applyNumberFormat="1" applyFont="1" applyFill="1" applyBorder="1" applyAlignment="1" applyProtection="1">
      <alignment horizontal="center" vertical="center"/>
    </xf>
    <xf numFmtId="170" fontId="1" fillId="0" borderId="27" xfId="10" applyNumberFormat="1" applyFont="1" applyFill="1" applyBorder="1" applyAlignment="1" applyProtection="1">
      <alignment horizontal="center" vertical="center"/>
    </xf>
    <xf numFmtId="0" fontId="0" fillId="0" borderId="25" xfId="0" applyBorder="1" applyAlignment="1" applyProtection="1">
      <alignment horizontal="left" vertical="center" indent="1"/>
      <protection locked="0"/>
    </xf>
    <xf numFmtId="170" fontId="1" fillId="0" borderId="29" xfId="10" applyNumberFormat="1" applyFont="1" applyFill="1" applyBorder="1" applyAlignment="1" applyProtection="1">
      <alignment horizontal="left" vertical="center"/>
      <protection locked="0"/>
    </xf>
    <xf numFmtId="14" fontId="20" fillId="0" borderId="20" xfId="0" applyNumberFormat="1" applyFont="1" applyBorder="1" applyAlignment="1" applyProtection="1">
      <alignment horizontal="left" vertical="center" indent="4"/>
      <protection locked="0"/>
    </xf>
    <xf numFmtId="0" fontId="20" fillId="0" borderId="25" xfId="0" applyFont="1" applyBorder="1" applyAlignment="1" applyProtection="1">
      <alignment horizontal="left" vertical="center" indent="1"/>
      <protection locked="0"/>
    </xf>
    <xf numFmtId="0" fontId="20" fillId="0" borderId="21" xfId="0" applyFont="1" applyBorder="1" applyAlignment="1" applyProtection="1">
      <alignment horizontal="left" vertical="center"/>
      <protection locked="0"/>
    </xf>
    <xf numFmtId="170" fontId="20" fillId="0" borderId="0" xfId="0" applyNumberFormat="1" applyFont="1" applyProtection="1">
      <alignment vertical="center"/>
      <protection locked="0"/>
    </xf>
    <xf numFmtId="170" fontId="20" fillId="0" borderId="29" xfId="0" applyNumberFormat="1" applyFont="1" applyBorder="1" applyProtection="1">
      <alignment vertical="center"/>
      <protection locked="0"/>
    </xf>
    <xf numFmtId="4" fontId="20" fillId="0" borderId="22" xfId="0" applyNumberFormat="1" applyFont="1" applyBorder="1" applyAlignment="1">
      <alignment horizontal="right" vertical="center"/>
    </xf>
    <xf numFmtId="4" fontId="20" fillId="0" borderId="23" xfId="0" applyNumberFormat="1" applyFont="1" applyBorder="1" applyAlignment="1">
      <alignment horizontal="right" vertical="center"/>
    </xf>
    <xf numFmtId="170" fontId="20" fillId="0" borderId="27" xfId="0" applyNumberFormat="1" applyFont="1" applyBorder="1" applyAlignment="1">
      <alignment horizontal="center" vertical="center"/>
    </xf>
    <xf numFmtId="0" fontId="20" fillId="0" borderId="24" xfId="0" applyFont="1" applyBorder="1" applyProtection="1">
      <alignment vertical="center"/>
      <protection locked="0"/>
    </xf>
    <xf numFmtId="14" fontId="19" fillId="0" borderId="20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170" fontId="1" fillId="0" borderId="25" xfId="10" applyNumberFormat="1" applyFont="1" applyFill="1" applyBorder="1" applyAlignment="1">
      <alignment vertical="center"/>
    </xf>
    <xf numFmtId="170" fontId="1" fillId="0" borderId="0" xfId="10" applyNumberFormat="1" applyFont="1" applyFill="1" applyBorder="1" applyAlignment="1">
      <alignment vertical="center"/>
    </xf>
    <xf numFmtId="168" fontId="10" fillId="3" borderId="0" xfId="8" applyNumberFormat="1" applyFill="1" applyBorder="1" applyAlignment="1" applyProtection="1">
      <alignment horizontal="center" vertical="center"/>
      <protection locked="0"/>
    </xf>
    <xf numFmtId="4" fontId="1" fillId="0" borderId="0" xfId="3" applyNumberFormat="1" applyFont="1" applyFill="1" applyBorder="1" applyAlignment="1">
      <alignment horizontal="right" vertical="center"/>
    </xf>
    <xf numFmtId="4" fontId="1" fillId="0" borderId="0" xfId="3" applyNumberFormat="1" applyFont="1" applyFill="1" applyBorder="1" applyAlignment="1" applyProtection="1">
      <alignment horizontal="right" vertical="center"/>
      <protection locked="0"/>
    </xf>
    <xf numFmtId="170" fontId="1" fillId="0" borderId="0" xfId="10" applyNumberFormat="1" applyFont="1" applyAlignment="1" applyProtection="1">
      <alignment horizontal="left" vertical="center"/>
      <protection locked="0"/>
    </xf>
    <xf numFmtId="170" fontId="1" fillId="0" borderId="29" xfId="10" applyNumberFormat="1" applyFont="1" applyBorder="1" applyAlignment="1" applyProtection="1">
      <alignment horizontal="left" vertical="center"/>
      <protection locked="0"/>
    </xf>
    <xf numFmtId="170" fontId="1" fillId="0" borderId="0" xfId="10" applyNumberFormat="1" applyFont="1" applyAlignment="1">
      <alignment vertical="center"/>
    </xf>
    <xf numFmtId="167" fontId="6" fillId="0" borderId="30" xfId="0" applyNumberFormat="1" applyFont="1" applyBorder="1" applyAlignment="1" applyProtection="1">
      <alignment horizontal="center" vertical="center" wrapText="1"/>
      <protection locked="0"/>
    </xf>
    <xf numFmtId="167" fontId="6" fillId="0" borderId="31" xfId="0" applyNumberFormat="1" applyFont="1" applyBorder="1" applyAlignment="1" applyProtection="1">
      <alignment horizontal="center" vertical="center" wrapText="1"/>
      <protection locked="0"/>
    </xf>
    <xf numFmtId="167" fontId="6" fillId="0" borderId="32" xfId="0" applyNumberFormat="1" applyFont="1" applyBorder="1" applyAlignment="1" applyProtection="1">
      <alignment horizontal="center" vertical="center" wrapText="1"/>
      <protection locked="0"/>
    </xf>
    <xf numFmtId="170" fontId="1" fillId="0" borderId="33" xfId="10" applyNumberFormat="1" applyFont="1" applyFill="1" applyBorder="1" applyAlignment="1" applyProtection="1">
      <alignment vertical="center"/>
      <protection locked="0"/>
    </xf>
    <xf numFmtId="2" fontId="1" fillId="0" borderId="34" xfId="10" applyNumberFormat="1" applyFont="1" applyFill="1" applyBorder="1" applyAlignment="1" applyProtection="1">
      <alignment vertical="center"/>
      <protection locked="0"/>
    </xf>
    <xf numFmtId="172" fontId="1" fillId="0" borderId="35" xfId="3" applyNumberFormat="1" applyFont="1" applyFill="1" applyBorder="1" applyAlignment="1" applyProtection="1">
      <alignment horizontal="right" vertical="center"/>
      <protection locked="0"/>
    </xf>
    <xf numFmtId="170" fontId="20" fillId="0" borderId="33" xfId="0" applyNumberFormat="1" applyFont="1" applyBorder="1" applyProtection="1">
      <alignment vertical="center"/>
      <protection locked="0"/>
    </xf>
    <xf numFmtId="170" fontId="20" fillId="0" borderId="34" xfId="0" applyNumberFormat="1" applyFont="1" applyBorder="1" applyProtection="1">
      <alignment vertical="center"/>
      <protection locked="0"/>
    </xf>
    <xf numFmtId="171" fontId="20" fillId="0" borderId="35" xfId="0" applyNumberFormat="1" applyFont="1" applyBorder="1" applyAlignment="1" applyProtection="1">
      <alignment horizontal="right" vertical="center"/>
      <protection locked="0"/>
    </xf>
    <xf numFmtId="170" fontId="1" fillId="0" borderId="25" xfId="10" applyNumberFormat="1" applyFont="1" applyBorder="1" applyAlignment="1" applyProtection="1">
      <alignment horizontal="left" vertical="center"/>
      <protection locked="0"/>
    </xf>
    <xf numFmtId="170" fontId="1" fillId="0" borderId="25" xfId="10" applyNumberFormat="1" applyFont="1" applyBorder="1" applyAlignment="1">
      <alignment vertical="center"/>
    </xf>
    <xf numFmtId="0" fontId="6" fillId="0" borderId="39" xfId="0" applyFont="1" applyBorder="1" applyAlignment="1" applyProtection="1">
      <alignment horizontal="center" vertical="center" wrapText="1"/>
      <protection locked="0"/>
    </xf>
    <xf numFmtId="4" fontId="1" fillId="0" borderId="40" xfId="3" applyNumberFormat="1" applyFont="1" applyFill="1" applyBorder="1" applyAlignment="1" applyProtection="1">
      <alignment horizontal="right" vertical="center"/>
      <protection locked="0"/>
    </xf>
    <xf numFmtId="4" fontId="20" fillId="0" borderId="40" xfId="0" applyNumberFormat="1" applyFont="1" applyBorder="1" applyAlignment="1">
      <alignment horizontal="right" vertical="center"/>
    </xf>
    <xf numFmtId="0" fontId="6" fillId="13" borderId="38" xfId="0" applyFont="1" applyFill="1" applyBorder="1" applyAlignment="1" applyProtection="1">
      <alignment horizontal="center" vertical="center" wrapText="1"/>
      <protection locked="0"/>
    </xf>
    <xf numFmtId="4" fontId="1" fillId="0" borderId="41" xfId="3" applyNumberFormat="1" applyFont="1" applyFill="1" applyBorder="1" applyAlignment="1">
      <alignment horizontal="right" vertical="center"/>
    </xf>
    <xf numFmtId="4" fontId="1" fillId="0" borderId="41" xfId="3" applyNumberFormat="1" applyFont="1" applyFill="1" applyBorder="1" applyAlignment="1" applyProtection="1">
      <alignment horizontal="right" vertical="center"/>
      <protection locked="0"/>
    </xf>
    <xf numFmtId="4" fontId="20" fillId="13" borderId="41" xfId="0" applyNumberFormat="1" applyFont="1" applyFill="1" applyBorder="1" applyAlignment="1">
      <alignment horizontal="right" vertical="center"/>
    </xf>
    <xf numFmtId="170" fontId="0" fillId="0" borderId="29" xfId="10" applyNumberFormat="1" applyFont="1" applyBorder="1" applyAlignment="1" applyProtection="1">
      <alignment horizontal="left" vertical="center"/>
      <protection locked="0"/>
    </xf>
    <xf numFmtId="170" fontId="0" fillId="0" borderId="25" xfId="10" applyNumberFormat="1" applyFont="1" applyBorder="1" applyAlignment="1">
      <alignment vertical="center"/>
    </xf>
    <xf numFmtId="170" fontId="0" fillId="14" borderId="26" xfId="9" applyNumberFormat="1" applyFont="1" applyFill="1" applyBorder="1" applyAlignment="1" applyProtection="1">
      <alignment horizontal="center" vertical="center"/>
    </xf>
    <xf numFmtId="170" fontId="0" fillId="12" borderId="26" xfId="9" applyNumberFormat="1" applyFont="1" applyFill="1" applyBorder="1" applyAlignment="1" applyProtection="1">
      <alignment horizontal="center" vertical="center"/>
    </xf>
    <xf numFmtId="170" fontId="0" fillId="8" borderId="26" xfId="9" applyNumberFormat="1" applyFont="1" applyFill="1" applyBorder="1" applyAlignment="1" applyProtection="1">
      <alignment horizontal="center" vertical="center"/>
    </xf>
    <xf numFmtId="170" fontId="0" fillId="10" borderId="26" xfId="9" applyNumberFormat="1" applyFont="1" applyFill="1" applyBorder="1" applyAlignment="1" applyProtection="1">
      <alignment horizontal="center" vertical="center"/>
    </xf>
    <xf numFmtId="170" fontId="0" fillId="11" borderId="26" xfId="9" applyNumberFormat="1" applyFont="1" applyFill="1" applyBorder="1" applyAlignment="1" applyProtection="1">
      <alignment horizontal="center" vertical="center"/>
    </xf>
    <xf numFmtId="170" fontId="0" fillId="7" borderId="26" xfId="9" applyNumberFormat="1" applyFont="1" applyFill="1" applyBorder="1" applyAlignment="1" applyProtection="1">
      <alignment horizontal="center" vertical="center"/>
    </xf>
    <xf numFmtId="170" fontId="0" fillId="9" borderId="26" xfId="9" applyNumberFormat="1" applyFont="1" applyFill="1" applyBorder="1" applyAlignment="1" applyProtection="1">
      <alignment horizontal="center" vertical="center"/>
    </xf>
    <xf numFmtId="170" fontId="0" fillId="5" borderId="26" xfId="9" applyNumberFormat="1" applyFont="1" applyFill="1" applyBorder="1" applyAlignment="1" applyProtection="1">
      <alignment horizontal="center" vertical="center"/>
    </xf>
    <xf numFmtId="170" fontId="0" fillId="0" borderId="25" xfId="10" applyNumberFormat="1" applyFont="1" applyFill="1" applyBorder="1" applyAlignment="1" applyProtection="1">
      <alignment vertical="center"/>
      <protection locked="0"/>
    </xf>
    <xf numFmtId="170" fontId="0" fillId="0" borderId="0" xfId="10" applyNumberFormat="1" applyFont="1" applyFill="1" applyBorder="1" applyAlignment="1" applyProtection="1">
      <alignment vertical="center"/>
      <protection locked="0"/>
    </xf>
    <xf numFmtId="170" fontId="0" fillId="0" borderId="29" xfId="10" applyNumberFormat="1" applyFont="1" applyFill="1" applyBorder="1" applyAlignment="1" applyProtection="1">
      <alignment vertical="center"/>
      <protection locked="0"/>
    </xf>
    <xf numFmtId="170" fontId="0" fillId="0" borderId="33" xfId="10" applyNumberFormat="1" applyFont="1" applyFill="1" applyBorder="1" applyAlignment="1" applyProtection="1">
      <alignment vertical="center"/>
      <protection locked="0"/>
    </xf>
    <xf numFmtId="2" fontId="0" fillId="0" borderId="34" xfId="10" applyNumberFormat="1" applyFont="1" applyFill="1" applyBorder="1" applyAlignment="1" applyProtection="1">
      <alignment vertical="center"/>
      <protection locked="0"/>
    </xf>
    <xf numFmtId="172" fontId="0" fillId="0" borderId="35" xfId="3" applyNumberFormat="1" applyFont="1" applyFill="1" applyBorder="1" applyAlignment="1" applyProtection="1">
      <alignment horizontal="right" vertical="center"/>
      <protection locked="0"/>
    </xf>
    <xf numFmtId="4" fontId="0" fillId="0" borderId="41" xfId="3" applyNumberFormat="1" applyFont="1" applyFill="1" applyBorder="1" applyAlignment="1" applyProtection="1">
      <alignment horizontal="right" vertical="center"/>
      <protection locked="0"/>
    </xf>
    <xf numFmtId="4" fontId="0" fillId="0" borderId="0" xfId="3" applyNumberFormat="1" applyFont="1" applyFill="1" applyBorder="1" applyAlignment="1" applyProtection="1">
      <alignment horizontal="right" vertical="center"/>
      <protection locked="0"/>
    </xf>
    <xf numFmtId="4" fontId="0" fillId="0" borderId="23" xfId="3" applyNumberFormat="1" applyFont="1" applyFill="1" applyBorder="1" applyAlignment="1" applyProtection="1">
      <alignment horizontal="right" vertical="center"/>
      <protection locked="0"/>
    </xf>
    <xf numFmtId="170" fontId="0" fillId="0" borderId="27" xfId="10" applyNumberFormat="1" applyFont="1" applyFill="1" applyBorder="1" applyAlignment="1" applyProtection="1">
      <alignment horizontal="center" vertical="center"/>
    </xf>
    <xf numFmtId="0" fontId="12" fillId="3" borderId="36" xfId="8" applyFont="1" applyFill="1" applyBorder="1" applyAlignment="1" applyProtection="1">
      <alignment horizontal="center" vertical="center" wrapText="1"/>
      <protection locked="0"/>
    </xf>
    <xf numFmtId="0" fontId="12" fillId="3" borderId="36" xfId="8" applyFont="1" applyFill="1" applyBorder="1" applyAlignment="1" applyProtection="1">
      <alignment vertical="top" wrapText="1"/>
      <protection locked="0"/>
    </xf>
    <xf numFmtId="8" fontId="24" fillId="0" borderId="0" xfId="0" applyNumberFormat="1" applyFont="1">
      <alignment vertical="center"/>
    </xf>
    <xf numFmtId="14" fontId="25" fillId="0" borderId="20" xfId="0" applyNumberFormat="1" applyFont="1" applyBorder="1" applyAlignment="1" applyProtection="1">
      <alignment horizontal="center" vertical="center"/>
      <protection locked="0"/>
    </xf>
    <xf numFmtId="0" fontId="26" fillId="0" borderId="25" xfId="0" applyFont="1" applyBorder="1" applyAlignment="1" applyProtection="1">
      <alignment horizontal="left" vertical="center" indent="1"/>
      <protection locked="0"/>
    </xf>
    <xf numFmtId="0" fontId="26" fillId="0" borderId="21" xfId="0" applyFont="1" applyBorder="1" applyAlignment="1" applyProtection="1">
      <alignment horizontal="left" vertical="center"/>
      <protection locked="0"/>
    </xf>
    <xf numFmtId="170" fontId="26" fillId="0" borderId="0" xfId="10" applyNumberFormat="1" applyFont="1" applyFill="1" applyBorder="1" applyAlignment="1" applyProtection="1">
      <alignment vertical="center"/>
      <protection locked="0"/>
    </xf>
    <xf numFmtId="170" fontId="26" fillId="0" borderId="29" xfId="10" applyNumberFormat="1" applyFont="1" applyFill="1" applyBorder="1" applyAlignment="1" applyProtection="1">
      <alignment vertical="center"/>
      <protection locked="0"/>
    </xf>
    <xf numFmtId="2" fontId="26" fillId="0" borderId="34" xfId="10" applyNumberFormat="1" applyFont="1" applyFill="1" applyBorder="1" applyAlignment="1" applyProtection="1">
      <alignment vertical="center"/>
      <protection locked="0"/>
    </xf>
    <xf numFmtId="172" fontId="26" fillId="0" borderId="35" xfId="3" applyNumberFormat="1" applyFont="1" applyFill="1" applyBorder="1" applyAlignment="1" applyProtection="1">
      <alignment horizontal="right" vertical="center"/>
      <protection locked="0"/>
    </xf>
    <xf numFmtId="4" fontId="26" fillId="0" borderId="41" xfId="3" applyNumberFormat="1" applyFont="1" applyFill="1" applyBorder="1" applyAlignment="1" applyProtection="1">
      <alignment horizontal="right" vertical="center"/>
      <protection locked="0"/>
    </xf>
    <xf numFmtId="4" fontId="26" fillId="0" borderId="0" xfId="3" applyNumberFormat="1" applyFont="1" applyFill="1" applyBorder="1" applyAlignment="1" applyProtection="1">
      <alignment horizontal="right" vertical="center"/>
      <protection locked="0"/>
    </xf>
    <xf numFmtId="4" fontId="26" fillId="0" borderId="23" xfId="3" applyNumberFormat="1" applyFont="1" applyFill="1" applyBorder="1" applyAlignment="1" applyProtection="1">
      <alignment horizontal="right" vertical="center"/>
      <protection locked="0"/>
    </xf>
    <xf numFmtId="170" fontId="26" fillId="0" borderId="27" xfId="10" applyNumberFormat="1" applyFont="1" applyFill="1" applyBorder="1" applyAlignment="1" applyProtection="1">
      <alignment horizontal="center" vertical="center"/>
    </xf>
    <xf numFmtId="0" fontId="26" fillId="0" borderId="24" xfId="0" applyFont="1" applyBorder="1" applyProtection="1">
      <alignment vertical="center"/>
      <protection locked="0"/>
    </xf>
    <xf numFmtId="0" fontId="23" fillId="3" borderId="0" xfId="5" applyFont="1" applyFill="1" applyBorder="1" applyAlignment="1" applyProtection="1">
      <alignment horizontal="left" vertical="center" indent="1"/>
      <protection locked="0"/>
    </xf>
    <xf numFmtId="0" fontId="12" fillId="3" borderId="37" xfId="8" applyNumberFormat="1" applyFont="1" applyFill="1" applyBorder="1" applyAlignment="1" applyProtection="1">
      <alignment horizontal="center" vertical="center"/>
      <protection locked="0"/>
    </xf>
    <xf numFmtId="0" fontId="12" fillId="3" borderId="36" xfId="8" applyFont="1" applyFill="1" applyBorder="1" applyAlignment="1" applyProtection="1">
      <alignment horizontal="center" vertical="center" wrapText="1"/>
      <protection locked="0"/>
    </xf>
    <xf numFmtId="14" fontId="10" fillId="3" borderId="0" xfId="8" applyNumberFormat="1" applyFill="1" applyBorder="1" applyAlignment="1" applyProtection="1">
      <alignment horizontal="left" vertical="center"/>
      <protection locked="0"/>
    </xf>
    <xf numFmtId="14" fontId="10" fillId="3" borderId="0" xfId="8" applyNumberFormat="1" applyFill="1" applyBorder="1" applyAlignment="1" applyProtection="1">
      <alignment horizontal="center" vertical="center"/>
      <protection locked="0"/>
    </xf>
    <xf numFmtId="14" fontId="10" fillId="3" borderId="28" xfId="8" applyNumberFormat="1" applyFill="1" applyBorder="1" applyAlignment="1" applyProtection="1">
      <alignment horizontal="center" vertical="center"/>
      <protection locked="0"/>
    </xf>
    <xf numFmtId="14" fontId="10" fillId="3" borderId="8" xfId="8" applyNumberFormat="1" applyFill="1" applyBorder="1" applyAlignment="1" applyProtection="1">
      <alignment horizontal="center" vertical="center"/>
      <protection locked="0"/>
    </xf>
    <xf numFmtId="0" fontId="12" fillId="3" borderId="42" xfId="8" applyNumberFormat="1" applyFont="1" applyFill="1" applyBorder="1" applyAlignment="1" applyProtection="1">
      <alignment horizontal="center" vertical="center"/>
      <protection locked="0"/>
    </xf>
    <xf numFmtId="168" fontId="12" fillId="3" borderId="28" xfId="8" applyNumberFormat="1" applyFont="1" applyFill="1" applyBorder="1" applyAlignment="1" applyProtection="1">
      <alignment horizontal="center" vertical="center"/>
      <protection locked="0"/>
    </xf>
    <xf numFmtId="14" fontId="10" fillId="3" borderId="7" xfId="8" applyNumberFormat="1" applyFill="1" applyBorder="1" applyAlignment="1" applyProtection="1">
      <alignment horizontal="center" vertical="center"/>
      <protection locked="0"/>
    </xf>
    <xf numFmtId="0" fontId="3" fillId="3" borderId="0" xfId="0" applyFont="1" applyFill="1" applyProtection="1">
      <alignment vertical="center"/>
      <protection locked="0"/>
    </xf>
    <xf numFmtId="0" fontId="10" fillId="3" borderId="0" xfId="8" applyNumberFormat="1" applyFill="1" applyBorder="1" applyAlignment="1" applyProtection="1">
      <alignment horizontal="left" vertical="center"/>
      <protection locked="0"/>
    </xf>
    <xf numFmtId="168" fontId="12" fillId="3" borderId="7" xfId="8" applyNumberFormat="1" applyFont="1" applyFill="1" applyBorder="1" applyAlignment="1" applyProtection="1">
      <alignment horizontal="center" vertical="center"/>
      <protection locked="0"/>
    </xf>
    <xf numFmtId="168" fontId="10" fillId="3" borderId="28" xfId="8" applyNumberFormat="1" applyFill="1" applyBorder="1" applyAlignment="1" applyProtection="1">
      <alignment horizontal="center" vertical="center"/>
      <protection locked="0"/>
    </xf>
    <xf numFmtId="0" fontId="10" fillId="3" borderId="7" xfId="8" applyNumberFormat="1" applyFill="1" applyBorder="1" applyAlignment="1" applyProtection="1">
      <alignment horizontal="center" vertical="center"/>
      <protection locked="0"/>
    </xf>
  </cellXfs>
  <cellStyles count="11">
    <cellStyle name="Collegamento ipertestuale" xfId="1" builtinId="8" customBuiltin="1"/>
    <cellStyle name="Collegamento ipertestuale visitato" xfId="2" builtinId="9" customBuiltin="1"/>
    <cellStyle name="Migliaia" xfId="3" builtinId="3"/>
    <cellStyle name="Normale" xfId="0" builtinId="0" customBuiltin="1"/>
    <cellStyle name="Stile 1" xfId="4" xr:uid="{00000000-0005-0000-0000-000004000000}"/>
    <cellStyle name="Titolo" xfId="5" builtinId="15" customBuiltin="1"/>
    <cellStyle name="Titolo 1" xfId="6" builtinId="16" customBuiltin="1"/>
    <cellStyle name="Titolo 2" xfId="7" builtinId="17" customBuiltin="1"/>
    <cellStyle name="Titolo 3" xfId="8" builtinId="18" customBuiltin="1"/>
    <cellStyle name="Titolo 4" xfId="9" builtinId="19" customBuiltin="1"/>
    <cellStyle name="Valuta" xfId="10" builtinId="4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border diagonalUp="0" diagonalDown="0" outline="0">
        <left/>
        <right style="medium">
          <color theme="4" tint="0.3997924741355632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alignment vertical="center" textRotation="0" wrapText="0" indent="0" justifyLastLine="0" shrinkToFit="0" readingOrder="0"/>
      <border diagonalUp="0" diagonalDown="0">
        <left/>
        <right style="medium">
          <color theme="4" tint="0.39979247413556324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0" formatCode="&quot;€&quot;\ 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0.39982299264503923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numFmt numFmtId="170" formatCode="&quot;€&quot;\ #,##0.00"/>
      <alignment horizontal="center" vertical="center" textRotation="0" wrapText="0" indent="0" justifyLastLine="0" shrinkToFit="0" readingOrder="0"/>
      <border diagonalUp="0" diagonalDown="0">
        <left style="medium">
          <color theme="4" tint="0.39982299264503923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hair">
          <color theme="4" tint="0.39982299264503923"/>
        </left>
        <right style="medium">
          <color theme="4" tint="0.3998229926450392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theme="4" tint="0.39982299264503923"/>
        </left>
        <right style="medium">
          <color theme="4" tint="0.39982299264503923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hair">
          <color theme="4" tint="0.39985351115451523"/>
        </left>
        <right style="hair">
          <color theme="4" tint="0.3998535111545152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/>
        <right style="hair">
          <color theme="4" tint="0.39985351115451523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numFmt numFmtId="4" formatCode="#,##0.00"/>
      <alignment horizontal="right" vertical="center" textRotation="0" wrapText="0" relativeIndent="-1" justifyLastLine="0" shrinkToFit="0" readingOrder="0"/>
      <border diagonalUp="0" diagonalDown="0">
        <left style="hair">
          <color theme="4" tint="0.39985351115451523"/>
        </left>
        <right style="hair">
          <color theme="4" tint="0.39985351115451523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theme="4" tint="0.39988402966399123"/>
        </left>
        <right style="medium">
          <color theme="4" tint="0.39985351115451523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theme="4" tint="0.39988402966399123"/>
        </left>
        <right style="medium">
          <color theme="4" tint="0.39985351115451523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1" formatCode="#,##0.0_)&quot;km&quot;;\(#,##0.0\)&quot;km&quot;"/>
      <alignment horizontal="right" vertical="center" textRotation="0" wrapText="0" indent="0" justifyLastLine="0" shrinkToFit="0" readingOrder="0"/>
      <border diagonalUp="0" diagonalDown="0" outline="0">
        <left style="mediumDashDotDot">
          <color theme="4" tint="0.39991454817346722"/>
        </left>
        <right style="medium">
          <color theme="4" tint="0.39988402966399123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numFmt numFmtId="172" formatCode="0.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DashDotDot">
          <color theme="4" tint="0.39991454817346722"/>
        </left>
        <right style="medium">
          <color theme="4" tint="0.39988402966399123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0" formatCode="&quot;€&quot;\ #,##0.00"/>
      <border diagonalUp="0" diagonalDown="0" outline="0">
        <left style="mediumDashDotDot">
          <color theme="4" tint="0.39991454817346722"/>
        </left>
        <right style="mediumDashDotDot">
          <color theme="4" tint="0.3999145481734672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DashDotDot">
          <color theme="4" tint="0.39991454817346722"/>
        </left>
        <right style="mediumDashDotDot">
          <color theme="4" tint="0.39991454817346722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0" formatCode="&quot;€&quot;\ #,##0.00"/>
      <border diagonalUp="0" diagonalDown="0" outline="0">
        <left style="medium">
          <color theme="4" tint="0.39994506668294322"/>
        </left>
        <right style="mediumDashDotDot">
          <color theme="4" tint="0.3999145481734672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minor"/>
      </font>
      <numFmt numFmtId="170" formatCode="&quot;€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4" tint="0.39994506668294322"/>
        </left>
        <right style="mediumDashDotDot">
          <color theme="4" tint="0.39991454817346722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0" formatCode="&quot;€&quot;\ #,##0.00"/>
      <border diagonalUp="0" diagonalDown="0" outline="0">
        <left style="medium">
          <color theme="4" tint="0.39985351115451523"/>
        </left>
        <right style="medium">
          <color theme="4" tint="0.3999450666829432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minor"/>
      </font>
      <numFmt numFmtId="170" formatCode="&quot;€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4" tint="0.39985351115451523"/>
        </left>
        <right style="medium">
          <color theme="4" tint="0.39994506668294322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0" formatCode="&quot;€&quot;\ #,##0.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minor"/>
      </font>
      <numFmt numFmtId="170" formatCode="&quot;€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0" formatCode="&quot;€&quot;\ #,##0.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minor"/>
      </font>
      <numFmt numFmtId="170" formatCode="&quot;€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70" formatCode="&quot;€&quot;\ #,##0.0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numFmt numFmtId="170" formatCode="&quot;€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medium">
          <color theme="4" tint="0.39994506668294322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medium">
          <color theme="4" tint="0.39994506668294322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 style="medium">
          <color theme="4" tint="0.39994506668294322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4" tint="0.39994506668294322"/>
        </left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9" formatCode="dd/mm/yyyy"/>
      <alignment horizontal="left" vertical="center" textRotation="0" wrapText="0" indent="4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Segoe U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theme="4" tint="0.39994506668294322"/>
        </left>
        <right style="medium">
          <color theme="4" tint="0.39994506668294322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0"/>
        <color theme="1"/>
        <name val="Segoe UI"/>
        <scheme val="minor"/>
      </font>
      <alignment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minor"/>
      </font>
      <alignment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79998168889431442"/>
        </patternFill>
      </fill>
    </dxf>
    <dxf>
      <border>
        <top style="medium">
          <color theme="4" tint="0.79998168889431442"/>
        </top>
      </border>
    </dxf>
    <dxf>
      <font>
        <b/>
        <i val="0"/>
        <color theme="3"/>
      </font>
      <border>
        <bottom style="medium">
          <color theme="4" tint="0.79998168889431442"/>
        </bottom>
        <horizontal/>
      </border>
    </dxf>
    <dxf>
      <border>
        <bottom style="medium">
          <color theme="4"/>
        </bottom>
      </border>
    </dxf>
  </dxfs>
  <tableStyles count="1" defaultTableStyle="Expense Report" defaultPivotStyle="PivotStyleLight16">
    <tableStyle name="Expense Report" pivot="0" count="4" xr9:uid="{00000000-0011-0000-FFFF-FFFF00000000}">
      <tableStyleElement type="wholeTable" dxfId="61"/>
      <tableStyleElement type="headerRow" dxfId="60"/>
      <tableStyleElement type="totalRow" dxfId="59"/>
      <tableStyleElement type="second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ese" displayName="tblSpese" ref="A14:P17" totalsRowCount="1" headerRowDxfId="34" dataDxfId="33" totalsRowDxfId="32">
  <tableColumns count="16">
    <tableColumn id="1" xr3:uid="{00000000-0010-0000-0000-000001000000}" name="Data" totalsRowLabel="Totali" dataDxfId="31" totalsRowDxfId="30"/>
    <tableColumn id="2" xr3:uid="{00000000-0010-0000-0000-000002000000}" name="Descrizione" dataDxfId="29" totalsRowDxfId="28"/>
    <tableColumn id="3" xr3:uid="{00000000-0010-0000-0000-000003000000}" name="." dataDxfId="27" totalsRowDxfId="26"/>
    <tableColumn id="4" xr3:uid="{00000000-0010-0000-0000-000004000000}" name="Dettagli" dataDxfId="25" totalsRowDxfId="24" dataCellStyle="Valuta"/>
    <tableColumn id="14" xr3:uid="{00000000-0010-0000-0000-00000E000000}" name=".." dataDxfId="23" totalsRowDxfId="22" dataCellStyle="Valuta"/>
    <tableColumn id="20" xr3:uid="{00000000-0010-0000-0000-000014000000}" name="…" dataDxfId="21" totalsRowDxfId="20" dataCellStyle="Valuta"/>
    <tableColumn id="21" xr3:uid="{00000000-0010-0000-0000-000015000000}" name="Tipo doc." dataDxfId="19" totalsRowDxfId="18" dataCellStyle="Valuta"/>
    <tableColumn id="15" xr3:uid="{00000000-0010-0000-0000-00000F000000}" name="Valuta" dataDxfId="17" totalsRowDxfId="16" dataCellStyle="Valuta"/>
    <tableColumn id="25" xr3:uid="{00000000-0010-0000-0000-000019000000}" name="Importo" dataDxfId="15" totalsRowDxfId="14" dataCellStyle="Valuta"/>
    <tableColumn id="6" xr3:uid="{00000000-0010-0000-0000-000006000000}" name="Cambio" dataDxfId="13" totalsRowDxfId="12" dataCellStyle="Migliaia"/>
    <tableColumn id="7" xr3:uid="{00000000-0010-0000-0000-000007000000}" name="€ Contanti o c/c pers." totalsRowFunction="sum" dataDxfId="11" totalsRowDxfId="10" dataCellStyle="Migliaia"/>
    <tableColumn id="12" xr3:uid="{00000000-0010-0000-0000-00000C000000}" name="€ c/c aziendale" totalsRowFunction="sum" dataDxfId="9" totalsRowDxfId="8"/>
    <tableColumn id="26" xr3:uid="{00000000-0010-0000-0000-00001A000000}" name="Cassa €" totalsRowFunction="sum" dataDxfId="7" totalsRowDxfId="6" dataCellStyle="Migliaia"/>
    <tableColumn id="9" xr3:uid="{00000000-0010-0000-0000-000009000000}" name="€ già pagato" totalsRowFunction="sum" dataDxfId="5" totalsRowDxfId="4" dataCellStyle="Migliaia"/>
    <tableColumn id="11" xr3:uid="{00000000-0010-0000-0000-00000B000000}" name="Totale" totalsRowFunction="sum" dataDxfId="3" totalsRowDxfId="2">
      <calculatedColumnFormula>SUM(K15:N15)</calculatedColumnFormula>
    </tableColumn>
    <tableColumn id="10" xr3:uid="{00000000-0010-0000-0000-00000A000000}" name=" " dataDxfId="1" totalsRowDxfId="0"/>
  </tableColumns>
  <tableStyleInfo name="Expense Report" showFirstColumn="0" showLastColumn="0" showRowStripes="1" showColumnStripes="0"/>
</table>
</file>

<file path=xl/theme/theme1.xml><?xml version="1.0" encoding="utf-8"?>
<a:theme xmlns:a="http://schemas.openxmlformats.org/drawingml/2006/main" name="Metropolitan">
  <a:themeElements>
    <a:clrScheme name="Expense Report">
      <a:dk1>
        <a:sysClr val="windowText" lastClr="000000"/>
      </a:dk1>
      <a:lt1>
        <a:sysClr val="window" lastClr="FFFFFF"/>
      </a:lt1>
      <a:dk2>
        <a:srgbClr val="5A5A5A"/>
      </a:dk2>
      <a:lt2>
        <a:srgbClr val="F0F0F0"/>
      </a:lt2>
      <a:accent1>
        <a:srgbClr val="438C9B"/>
      </a:accent1>
      <a:accent2>
        <a:srgbClr val="DA1FA2"/>
      </a:accent2>
      <a:accent3>
        <a:srgbClr val="F2C911"/>
      </a:accent3>
      <a:accent4>
        <a:srgbClr val="6D5CA7"/>
      </a:accent4>
      <a:accent5>
        <a:srgbClr val="F44A4A"/>
      </a:accent5>
      <a:accent6>
        <a:srgbClr val="759D33"/>
      </a:accent6>
      <a:hlink>
        <a:srgbClr val="6D5CA7"/>
      </a:hlink>
      <a:folHlink>
        <a:srgbClr val="DA1FA2"/>
      </a:folHlink>
    </a:clrScheme>
    <a:fontScheme name="Expense Report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P17"/>
  <sheetViews>
    <sheetView showGridLines="0" tabSelected="1" zoomScale="80" zoomScaleNormal="80" workbookViewId="0">
      <selection activeCell="A15" sqref="A15"/>
    </sheetView>
  </sheetViews>
  <sheetFormatPr defaultColWidth="9.109375" defaultRowHeight="24.15" customHeight="1" x14ac:dyDescent="0.35"/>
  <cols>
    <col min="1" max="1" width="20.44140625" style="51" customWidth="1"/>
    <col min="2" max="2" width="27" style="5" customWidth="1"/>
    <col min="3" max="3" width="12.109375" style="5" customWidth="1"/>
    <col min="4" max="4" width="10.6640625" style="52" customWidth="1"/>
    <col min="5" max="5" width="9.5546875" style="52" bestFit="1" customWidth="1"/>
    <col min="6" max="7" width="10.5546875" style="52" customWidth="1"/>
    <col min="8" max="8" width="10.33203125" style="52" customWidth="1"/>
    <col min="9" max="9" width="10.6640625" style="52" bestFit="1" customWidth="1"/>
    <col min="10" max="10" width="11" style="5" customWidth="1"/>
    <col min="11" max="11" width="11.88671875" style="5" customWidth="1"/>
    <col min="12" max="12" width="10.6640625" style="5" customWidth="1"/>
    <col min="13" max="13" width="11.44140625" style="5" bestFit="1" customWidth="1"/>
    <col min="14" max="14" width="18.44140625" style="52" customWidth="1"/>
    <col min="15" max="15" width="23.44140625" style="5" customWidth="1"/>
    <col min="16" max="16" width="2.109375" style="5" customWidth="1"/>
    <col min="17" max="16384" width="9.109375" style="5"/>
  </cols>
  <sheetData>
    <row r="1" spans="1:16" ht="25.5" customHeight="1" x14ac:dyDescent="0.45">
      <c r="A1" s="130" t="s">
        <v>0</v>
      </c>
      <c r="B1" s="130"/>
      <c r="C1" s="1" t="s">
        <v>1</v>
      </c>
      <c r="D1" s="2"/>
      <c r="E1" s="2"/>
      <c r="F1" s="2"/>
      <c r="G1" s="2"/>
      <c r="H1" s="2"/>
      <c r="I1" s="2"/>
      <c r="J1" s="3"/>
      <c r="K1" s="3"/>
      <c r="L1" s="2"/>
      <c r="M1" s="2"/>
      <c r="N1" s="4"/>
      <c r="O1" s="2"/>
      <c r="P1" s="2"/>
    </row>
    <row r="2" spans="1:16" ht="28.5" customHeight="1" x14ac:dyDescent="0.35">
      <c r="A2" s="130"/>
      <c r="B2" s="130"/>
      <c r="C2" s="6" t="s">
        <v>2</v>
      </c>
      <c r="D2" s="2"/>
      <c r="E2" s="2"/>
      <c r="F2" s="2"/>
      <c r="G2" s="2"/>
      <c r="H2" s="2"/>
      <c r="I2" s="2"/>
      <c r="J2" s="3"/>
      <c r="K2" s="3"/>
      <c r="L2" s="3"/>
      <c r="M2" s="3"/>
      <c r="N2" s="7" t="s">
        <v>3</v>
      </c>
      <c r="O2" s="53">
        <f>N6+O6+N8+O8+N10+O10</f>
      </c>
      <c r="P2" s="2"/>
    </row>
    <row r="3" spans="1:16" ht="6.15" customHeight="1" thickBot="1" x14ac:dyDescent="0.4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3"/>
      <c r="N3" s="140"/>
      <c r="O3" s="10"/>
      <c r="P3" s="2"/>
    </row>
    <row r="4" spans="1:16" ht="6.15" customHeight="1" x14ac:dyDescent="0.35">
      <c r="A4" s="11"/>
      <c r="B4" s="12"/>
      <c r="C4" s="13"/>
      <c r="D4" s="12"/>
      <c r="E4" s="12"/>
      <c r="F4" s="3"/>
      <c r="G4" s="3"/>
      <c r="H4" s="3"/>
      <c r="I4" s="3"/>
      <c r="J4" s="3"/>
      <c r="K4" s="3"/>
      <c r="L4" s="3"/>
      <c r="M4" s="3"/>
      <c r="N4" s="140"/>
      <c r="O4" s="10"/>
      <c r="P4" s="2"/>
    </row>
    <row r="5" spans="1:16" ht="23.25" customHeight="1" x14ac:dyDescent="0.35">
      <c r="A5" s="14" t="s">
        <v>4</v>
      </c>
      <c r="B5" s="15"/>
      <c r="C5" s="16" t="s">
        <v>5</v>
      </c>
      <c r="D5" s="144"/>
      <c r="E5" s="144"/>
      <c r="F5" s="144"/>
      <c r="G5" s="144"/>
      <c r="H5" s="17"/>
      <c r="I5" s="18" t="s">
        <v>6</v>
      </c>
      <c r="J5" s="18"/>
      <c r="K5" s="142"/>
      <c r="L5" s="142"/>
      <c r="M5" s="29"/>
      <c r="N5" s="19" t="s">
        <v>7</v>
      </c>
      <c r="O5" s="19" t="s">
        <v>8</v>
      </c>
      <c r="P5" s="2"/>
    </row>
    <row r="6" spans="1:16" ht="23.25" customHeight="1" x14ac:dyDescent="0.35">
      <c r="A6" s="14" t="s">
        <v>9</v>
      </c>
      <c r="B6" s="20"/>
      <c r="C6" s="16" t="s">
        <v>5</v>
      </c>
      <c r="D6" s="135"/>
      <c r="E6" s="135"/>
      <c r="F6" s="135"/>
      <c r="G6" s="135"/>
      <c r="H6" s="21"/>
      <c r="I6" s="18" t="s">
        <v>10</v>
      </c>
      <c r="J6" s="18"/>
      <c r="K6" s="138"/>
      <c r="L6" s="138"/>
      <c r="M6" s="29"/>
      <c r="N6" s="104">
        <f>SUMIF(B15:B16,"Taxi",O15:O16)+SUMIF(B15:B16,"Carburante",O15:O16)+SUMIF(B15:B16,"Noleggio auto",O15:O16)+SUMIF(B15:B16,"Carburante auto a noleggio",O15:O16)+SUMIF(B15:B16,"Pedaggi",O15:O16)+SUMIF(B15:B16,"Parcheggio",O15:O16)</f>
      </c>
      <c r="O6" s="54">
        <f>(K9-K8)*K6</f>
      </c>
      <c r="P6" s="2"/>
    </row>
    <row r="7" spans="1:16" ht="23.25" customHeight="1" x14ac:dyDescent="0.35">
      <c r="A7" s="14" t="s">
        <v>11</v>
      </c>
      <c r="B7" s="20"/>
      <c r="C7" s="16"/>
      <c r="D7" s="136"/>
      <c r="E7" s="136"/>
      <c r="F7" s="136"/>
      <c r="G7" s="136"/>
      <c r="H7" s="22"/>
      <c r="I7" s="18" t="s">
        <v>12</v>
      </c>
      <c r="J7" s="18"/>
      <c r="K7" s="143"/>
      <c r="L7" s="143"/>
      <c r="M7" s="71"/>
      <c r="N7" s="23" t="s">
        <v>13</v>
      </c>
      <c r="O7" s="19" t="s">
        <v>14</v>
      </c>
      <c r="P7" s="24"/>
    </row>
    <row r="8" spans="1:16" ht="23.25" customHeight="1" x14ac:dyDescent="0.35">
      <c r="A8" s="14"/>
      <c r="B8" s="18"/>
      <c r="C8" s="16" t="s">
        <v>15</v>
      </c>
      <c r="D8" s="141"/>
      <c r="E8" s="141"/>
      <c r="F8" s="131"/>
      <c r="G8" s="131"/>
      <c r="H8" s="25"/>
      <c r="I8" s="18" t="s">
        <v>16</v>
      </c>
      <c r="J8" s="18"/>
      <c r="K8" s="138"/>
      <c r="L8" s="138"/>
      <c r="M8" s="29"/>
      <c r="N8" s="102">
        <f>SUMIF(B15:B16,"Volo",O15:O16)+SUMIF(B15:B16,"Treno",O15:O16)</f>
      </c>
      <c r="O8" s="99">
        <f>SUMIF(B15:B16,"Albergo",O15:O16)</f>
      </c>
      <c r="P8" s="2"/>
    </row>
    <row r="9" spans="1:16" ht="23.25" customHeight="1" x14ac:dyDescent="0.35">
      <c r="A9" s="14" t="s">
        <v>17</v>
      </c>
      <c r="B9" s="115"/>
      <c r="C9" s="16" t="s">
        <v>18</v>
      </c>
      <c r="D9" s="137"/>
      <c r="E9" s="137"/>
      <c r="F9" s="25"/>
      <c r="G9" s="25"/>
      <c r="H9" s="25"/>
      <c r="I9" s="18" t="s">
        <v>19</v>
      </c>
      <c r="J9" s="18"/>
      <c r="K9" s="138"/>
      <c r="L9" s="138"/>
      <c r="M9" s="29"/>
      <c r="N9" s="19" t="s">
        <v>20</v>
      </c>
      <c r="O9" s="19" t="s">
        <v>21</v>
      </c>
      <c r="P9" s="2"/>
    </row>
    <row r="10" spans="1:16" ht="23.25" customHeight="1" x14ac:dyDescent="0.35">
      <c r="A10" s="14"/>
      <c r="B10" s="116"/>
      <c r="C10" s="16" t="s">
        <v>22</v>
      </c>
      <c r="D10" s="139"/>
      <c r="E10" s="139"/>
      <c r="F10" s="27" t="s">
        <v>23</v>
      </c>
      <c r="G10" s="139"/>
      <c r="H10" s="139"/>
      <c r="I10" s="25"/>
      <c r="J10" s="18"/>
      <c r="K10" s="28"/>
      <c r="L10" s="2"/>
      <c r="M10" s="2"/>
      <c r="N10" s="103">
        <f>SUMIF(B15:B16,"Pasti",O15:O16)</f>
      </c>
      <c r="O10" s="100">
        <f>SUMIF(B15:B16,"Varie",O15:O16)+SUMIF(B15:B16,"Materiale consumo",O15:O16)</f>
      </c>
      <c r="P10" s="2"/>
    </row>
    <row r="11" spans="1:16" ht="23.25" customHeight="1" x14ac:dyDescent="0.35">
      <c r="A11" s="14"/>
      <c r="B11" s="132"/>
      <c r="C11" s="16"/>
      <c r="D11" s="26"/>
      <c r="E11" s="26"/>
      <c r="F11" s="25"/>
      <c r="G11" s="25"/>
      <c r="H11" s="25"/>
      <c r="I11" s="18"/>
      <c r="J11" s="18"/>
      <c r="K11" s="29"/>
      <c r="L11" s="19" t="s">
        <v>24</v>
      </c>
      <c r="M11" s="19" t="s">
        <v>25</v>
      </c>
      <c r="N11" s="19" t="s">
        <v>26</v>
      </c>
      <c r="O11" s="19" t="s">
        <v>27</v>
      </c>
      <c r="P11" s="2"/>
    </row>
    <row r="12" spans="1:16" ht="23.25" customHeight="1" x14ac:dyDescent="0.35">
      <c r="A12" s="14"/>
      <c r="B12" s="132"/>
      <c r="C12" s="16"/>
      <c r="D12" s="133"/>
      <c r="E12" s="133"/>
      <c r="F12" s="27"/>
      <c r="G12" s="134"/>
      <c r="H12" s="134"/>
      <c r="I12" s="25"/>
      <c r="J12" s="18"/>
      <c r="K12" s="28"/>
      <c r="L12" s="99">
        <f>SUMIF(G15:G16,"Carb.auto",L15:L16)</f>
      </c>
      <c r="M12" s="97">
        <f>SUMIF(G15:G16,"Scontrino",M15:M16)</f>
      </c>
      <c r="N12" s="98">
        <f>SUMIF(G15:G16,"Scontrino",L15:L16)</f>
      </c>
      <c r="O12" s="101">
        <f>SUMIF(G15:G16,"Fattura",L15:L16)</f>
      </c>
      <c r="P12" s="2"/>
    </row>
    <row r="13" spans="1:16" ht="11.85" customHeight="1" thickBot="1" x14ac:dyDescent="0.4">
      <c r="A13" s="30"/>
      <c r="B13" s="30"/>
      <c r="C13" s="31"/>
      <c r="D13" s="30"/>
      <c r="E13" s="30"/>
      <c r="F13" s="30"/>
      <c r="G13" s="30"/>
      <c r="H13" s="30"/>
      <c r="I13" s="30"/>
      <c r="J13" s="30"/>
      <c r="K13" s="3"/>
      <c r="L13" s="3"/>
      <c r="M13" s="3"/>
      <c r="N13" s="3"/>
      <c r="O13" s="32"/>
      <c r="P13" s="33"/>
    </row>
    <row r="14" spans="1:16" ht="33.6" x14ac:dyDescent="0.35">
      <c r="A14" s="34" t="s">
        <v>28</v>
      </c>
      <c r="B14" s="35" t="s">
        <v>29</v>
      </c>
      <c r="C14" s="36" t="s">
        <v>30</v>
      </c>
      <c r="D14" s="37" t="s">
        <v>31</v>
      </c>
      <c r="E14" s="38" t="s">
        <v>32</v>
      </c>
      <c r="F14" s="39" t="s">
        <v>33</v>
      </c>
      <c r="G14" s="40" t="s">
        <v>34</v>
      </c>
      <c r="H14" s="77" t="s">
        <v>35</v>
      </c>
      <c r="I14" s="78" t="s">
        <v>36</v>
      </c>
      <c r="J14" s="79" t="s">
        <v>37</v>
      </c>
      <c r="K14" s="91" t="s">
        <v>38</v>
      </c>
      <c r="L14" s="88" t="s">
        <v>39</v>
      </c>
      <c r="M14" s="41" t="s">
        <v>40</v>
      </c>
      <c r="N14" s="42" t="s">
        <v>41</v>
      </c>
      <c r="O14" s="43" t="s">
        <v>42</v>
      </c>
      <c r="P14" s="44" t="s">
        <v>43</v>
      </c>
    </row>
    <row r="15" spans="1:16" ht="24.15" customHeight="1" x14ac:dyDescent="0.35">
      <c r="A15" s="67"/>
      <c r="B15" s="56"/>
      <c r="C15" s="68"/>
      <c r="D15" s="96"/>
      <c r="E15" s="76"/>
      <c r="F15" s="76"/>
      <c r="G15" s="75"/>
      <c r="H15" s="80"/>
      <c r="I15" s="81"/>
      <c r="J15" s="82"/>
      <c r="K15" s="92"/>
      <c r="L15" s="81"/>
      <c r="M15" s="72"/>
      <c r="N15" s="47"/>
      <c r="O15" s="55"/>
      <c r="P15" s="48"/>
    </row>
    <row r="16" spans="1:16" ht="24.15" customHeight="1" x14ac:dyDescent="0.35">
      <c r="A16" s="45"/>
      <c r="B16" s="56"/>
      <c r="C16" s="46"/>
      <c r="D16" s="49"/>
      <c r="E16" s="50"/>
      <c r="F16" s="50"/>
      <c r="G16" s="57"/>
      <c r="H16" s="80"/>
      <c r="I16" s="81"/>
      <c r="J16" s="82"/>
      <c r="K16" s="93"/>
      <c r="L16" s="89"/>
      <c r="M16" s="73"/>
      <c r="N16" s="47"/>
      <c r="O16" s="55"/>
      <c r="P16" s="48"/>
    </row>
    <row r="17" spans="1:16" ht="24.15" customHeight="1" x14ac:dyDescent="0.35">
      <c r="A17" s="58" t="s">
        <v>44</v>
      </c>
      <c r="B17" s="59"/>
      <c r="C17" s="60"/>
      <c r="D17" s="61"/>
      <c r="E17" s="61"/>
      <c r="F17" s="61"/>
      <c r="G17" s="62"/>
      <c r="H17" s="83"/>
      <c r="I17" s="84"/>
      <c r="J17" s="85"/>
      <c r="K17" s="94">
        <f>SUBTOTAL(109,tblSpese[€ Contanti o c/c pers.])</f>
      </c>
      <c r="L17" s="90">
        <f>SUBTOTAL(109,tblSpese[€ c/c aziendale])</f>
      </c>
      <c r="M17" s="63">
        <f>SUBTOTAL(109,tblSpese[Cassa €])</f>
      </c>
      <c r="N17" s="64">
        <f>SUBTOTAL(109,tblSpese[€ già pagato])</f>
      </c>
      <c r="O17" s="65">
        <f>SUBTOTAL(109,tblSpese[Totale])</f>
      </c>
      <c r="P17" s="66"/>
    </row>
  </sheetData>
  <dataConsolidate/>
  <mergeCells count="18">
    <mergeCell ref="K9:L9"/>
    <mergeCell ref="D10:E10"/>
    <mergeCell ref="N3:N4"/>
    <mergeCell ref="D8:E8"/>
    <mergeCell ref="G10:H10"/>
    <mergeCell ref="K5:L5"/>
    <mergeCell ref="K6:L6"/>
    <mergeCell ref="K7:L7"/>
    <mergeCell ref="D5:G5"/>
    <mergeCell ref="K8:L8"/>
    <mergeCell ref="A1:B2"/>
    <mergeCell ref="F8:G8"/>
    <mergeCell ref="B11:B12"/>
    <mergeCell ref="D12:E12"/>
    <mergeCell ref="G12:H12"/>
    <mergeCell ref="D6:G6"/>
    <mergeCell ref="D7:G7"/>
    <mergeCell ref="D9:E9"/>
  </mergeCells>
  <conditionalFormatting sqref="A15:A16">
    <cfRule type="expression" dxfId="55" priority="1">
      <formula>(($A15&lt;$D$10)+($A15&gt;$G$10))*($A15&lt;&gt;"")</formula>
    </cfRule>
  </conditionalFormatting>
  <dataValidations count="3">
    <dataValidation type="list" allowBlank="1" showInputMessage="1" showErrorMessage="1" sqref="K7:M7">
      <formula1>"Bmw, Porshe, Pajero, Tipo FJ, Tipo FR, TIPO FT, Roomster, Nissan, Ducato, Iveco EK, Iveco DC,"</formula1>
    </dataValidation>
    <dataValidation type="list" allowBlank="1" showInputMessage="1" showErrorMessage="1" sqref="B15:B16">
      <formula1>"Albergo, Pasti, Parcheggio, Volo, Pedaggi, Carburante, Noleggio auto, Carburante auto a noleggio, Taxi, Treno, Materiale consumo, Varie, Rimborso chilometrico"</formula1>
    </dataValidation>
    <dataValidation type="list" allowBlank="1" showInputMessage="1" showErrorMessage="1" sqref="G15:G16">
      <formula1>"Fattura, Scontrino, Già pagato, Carb.auto,"</formula1>
    </dataValidation>
  </dataValidations>
  <printOptions horizontalCentered="1"/>
  <pageMargins left="0.23622047244094491" right="0.23622047244094491" top="0.15748031496062992" bottom="0.15748031496062992" header="0.11811023622047245" footer="0.11811023622047245"/>
  <pageSetup paperSize="9" scale="70" fitToHeight="0" orientation="landscape" r:id="rId1"/>
  <headerFooter differentFirst="1">
    <firstFooter>&amp;L&amp;"-,Grassetto"Il sottoscritto dichiara sotto la propria responsabilità che le spese sono corredate da documento giustificativo e sono inerenti allo svolgimento del lavoro affidatogli.
FIRMA______________________________ Firma Titolare____________</first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Nota spese</vt:lpstr>
      <vt:lpstr>DataFine</vt:lpstr>
      <vt:lpstr>DataInizio</vt:lpstr>
      <vt:lpstr>TariffaChilometraggio</vt:lpstr>
      <vt:lpstr>'Nota spese'!Titoli_stampa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Manager</dc:creator>
  <cp:lastModifiedBy>Work Manager</cp:lastModifiedBy>
  <cp:lastPrinted>2024-02-20T07:54:34Z</cp:lastPrinted>
  <dcterms:created xsi:type="dcterms:W3CDTF">2013-11-22T19:45:58Z</dcterms:created>
  <dcterms:modified xsi:type="dcterms:W3CDTF">2026-10-08T12:09:44Z</dcterms:modified>
</cp:coreProperties>
</file>